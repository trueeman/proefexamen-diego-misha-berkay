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Sofie\Downloads\"/>
    </mc:Choice>
  </mc:AlternateContent>
  <xr:revisionPtr revIDLastSave="0" documentId="13_ncr:1_{82BFC55C-C318-4791-A81A-F63B5CD40F6F}" xr6:coauthVersionLast="47" xr6:coauthVersionMax="47" xr10:uidLastSave="{00000000-0000-0000-0000-000000000000}"/>
  <bookViews>
    <workbookView xWindow="-108" yWindow="-108" windowWidth="23256" windowHeight="12456" tabRatio="840" firstSheet="5" activeTab="8"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41" i="104"/>
  <c r="B26" i="101" s="1"/>
  <c r="B25" i="10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<sst xmlns="http://schemas.openxmlformats.org/spreadsheetml/2006/main" count="334" uniqueCount="158">
  <si>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</si>
  <si>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</si>
  <si>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</si>
  <si>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</si>
  <si>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</si>
  <si>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</si>
  <si>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</si>
  <si>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</si>
  <si>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</si>
  <si>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</si>
  <si>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</si>
  <si>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</si>
  <si>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</si>
  <si>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</si>
  <si>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</si>
  <si>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</si>
  <si>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</si>
  <si>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</si>
  <si>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</si>
  <si>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</si>
  <si>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</si>
  <si>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</si>
  <si>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</si>
  <si>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</si>
  <si>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</si>
  <si>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</si>
  <si>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</si>
  <si>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</si>
  <si>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</si>
  <si>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</si>
  <si>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</si>
  <si>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</si>
  <si>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</si>
  <si>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</si>
  <si>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</si>
  <si>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</si>
  <si>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</si>
  <si>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</si>
  <si>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</si>
  <si>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</si>
  <si>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</si>
  <si>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</si>
  <si>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</si>
  <si>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</si>
  <si>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</si>
  <si>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</si>
  <si>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</si>
  <si>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</si>
  <si>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</si>
  <si>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</si>
  <si>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</si>
  <si>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</si>
  <si>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</si>
  <si>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</si>
  <si>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</si>
  <si>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</si>
  <si>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</si>
  <si>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</si>
  <si>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</si>
  <si>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</si>
  <si>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</si>
  <si>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</si>
  <si>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</si>
  <si>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</si>
  <si>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</si>
  <si>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</si>
  <si>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</si>
  <si>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</si>
  <si>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</si>
  <si>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</si>
  <si>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</si>
  <si>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</si>
  <si>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</si>
  <si>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</si>
  <si>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</si>
  <si>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</si>
  <si>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</si>
  <si>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</si>
  <si>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</si>
  <si>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</si>
  <si>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</si>
  <si>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</si>
  <si>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</si>
  <si>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</si>
  <si>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</si>
  <si>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</si>
  <si>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</si>
  <si>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</si>
  <si>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</si>
  <si>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</si>
  <si>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</si>
  <si>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</si>
  <si>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</si>
  <si>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</si>
  <si>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</si>
  <si>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</si>
  <si>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</si>
  <si>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</si>
  <si>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</si>
  <si>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</si>
  <si>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</si>
  <si>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</si>
  <si>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</si>
  <si>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</si>
  <si>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</si>
  <si>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</si>
  <si>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</si>
  <si>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</si>
  <si>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</si>
  <si>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</si>
  <si>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</si>
  <si>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</si>
  <si>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</si>
  <si>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</si>
  <si>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</si>
  <si>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</si>
  <si>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</si>
  <si>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</si>
  <si>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</si>
  <si>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</si>
  <si>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</si>
  <si>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</si>
  <si>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</si>
  <si>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</si>
  <si>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</si>
  <si>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</si>
  <si>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</si>
  <si>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</si>
  <si>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</si>
  <si>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</si>
  <si>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</si>
  <si>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</si>
  <si>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</si>
  <si>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</si>
  <si>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</si>
  <si>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</si>
  <si>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</si>
  <si>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</si>
  <si>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</si>
  <si>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</si>
  <si>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</si>
  <si>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</si>
  <si>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</si>
  <si>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</si>
  <si>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</si>
  <si>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</si>
  <si>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</si>
  <si>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</si>
  <si>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</si>
  <si>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</si>
  <si>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</si>
  <si>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</si>
  <si>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Misha Ho-Sam-Sooi</t>
  </si>
  <si>
    <t>SOD3A</t>
  </si>
  <si>
    <t>Sofie Brink</t>
  </si>
  <si>
    <t>Het lijkt dat Misha netjes al zijn taken heeft afgestemd en uitgevoerd.</t>
  </si>
  <si>
    <t>Er is geen video presentatie aanwezig</t>
  </si>
  <si>
    <t>Feedback is in achting genomen.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</si>
</sst>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xf numFmtId="49" fontId="5" fillId="16" borderId="19" xfId="0" applyNumberFormat="1" applyFont="1" applyFill="1" applyBorder="1" applyAlignment="1">
      <alignment horizontal="center"/>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opLeftCell="A10" workbookViewId="0">
      <selection activeCell="C34" sqref="C34"/>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45601</v>
      </c>
      <c r="C16" s="108"/>
      <c r="D16" s="71" t="s">
        <v>106</v>
      </c>
    </row>
    <row r="17" spans="1:3" x14ac:dyDescent="0.3">
      <c r="A17" s="70" t="s">
        <v>38</v>
      </c>
      <c r="B17" s="101" t="s">
        <v>152</v>
      </c>
      <c r="C17" s="102"/>
    </row>
    <row r="18" spans="1:3" x14ac:dyDescent="0.3">
      <c r="A18" s="70" t="s">
        <v>39</v>
      </c>
      <c r="B18" s="99">
        <v>9024254</v>
      </c>
      <c r="C18" s="100"/>
    </row>
    <row r="19" spans="1:3" x14ac:dyDescent="0.3">
      <c r="A19" s="70" t="s">
        <v>40</v>
      </c>
      <c r="B19" s="101" t="s">
        <v>153</v>
      </c>
      <c r="C19" s="102"/>
    </row>
    <row r="20" spans="1:3" x14ac:dyDescent="0.3">
      <c r="A20" s="70" t="s">
        <v>107</v>
      </c>
      <c r="B20" s="101"/>
      <c r="C20" s="102"/>
    </row>
    <row r="21" spans="1:3" x14ac:dyDescent="0.3">
      <c r="A21" s="70" t="s">
        <v>108</v>
      </c>
      <c r="B21" s="101" t="s">
        <v>154</v>
      </c>
      <c r="C21" s="102"/>
    </row>
    <row r="22" spans="1:3" ht="15" thickBot="1" x14ac:dyDescent="0.35"/>
    <row r="23" spans="1:3" ht="15" thickBot="1" x14ac:dyDescent="0.35">
      <c r="A23" s="72" t="s">
        <v>26</v>
      </c>
      <c r="B23" s="73" t="s">
        <v>109</v>
      </c>
      <c r="C23" s="103" t="s">
        <v>110</v>
      </c>
    </row>
    <row r="24" spans="1:3" x14ac:dyDescent="0.3">
      <c r="A24" s="70" t="s">
        <v>63</v>
      </c>
      <c r="B24" s="74">
        <f>'B1-K2-W1'!B45</f>
        <v>10</v>
      </c>
      <c r="C24" s="103"/>
    </row>
    <row r="25" spans="1:3" x14ac:dyDescent="0.3">
      <c r="A25" s="70" t="s">
        <v>65</v>
      </c>
      <c r="B25" s="74">
        <f>'B1-K2-W2'!B41</f>
        <v>7</v>
      </c>
      <c r="C25" s="103"/>
    </row>
    <row r="26" spans="1:3" x14ac:dyDescent="0.3">
      <c r="A26" s="70" t="s">
        <v>67</v>
      </c>
      <c r="B26" s="74">
        <f>'B1-K2-W3'!B41</f>
        <v>10</v>
      </c>
      <c r="C26" s="103"/>
    </row>
    <row r="27" spans="1:3" x14ac:dyDescent="0.3">
      <c r="A27" s="16"/>
      <c r="B27" s="84"/>
      <c r="C27" s="83"/>
    </row>
    <row r="28" spans="1:3" x14ac:dyDescent="0.3">
      <c r="A28" s="85" t="s">
        <v>111</v>
      </c>
      <c r="B28" s="86" cm="1">
        <f t="array" ref="B28">IF(OR(B24:B26&lt;5.5),1,IF(OR(B24:B26=""),"",(AVERAGE(B24:B26))))</f>
        <v>9</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114" t="s">
        <v>154</v>
      </c>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50" workbookViewId="0">
      <selection activeCell="B54" sqref="B54"/>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SOD3A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Sofie Brink</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
      </c>
    </row>
    <row r="44" spans="2:4" x14ac:dyDescent="0.3">
      <c r="B44" s="67">
        <v>12</v>
      </c>
      <c r="C44" s="68">
        <f t="shared" si="0"/>
        <v>10</v>
      </c>
      <c r="D44" s="60" t="str">
        <f t="shared" si="1"/>
        <v>X</v>
      </c>
    </row>
    <row r="45" spans="2:4" hidden="1" x14ac:dyDescent="0.3">
      <c r="B45" s="67">
        <f>IF(D32="X","",IF(D33="X",C33,IF(D34="X",C34,IF(D35="X",C35,IF(D36="X",C36,IF(D37="X",C37,IF(D38="X",C38,IF(D39="X",C39,IF(D40="X",C40,IF(D41="X",C41,IF(D42="X",C42,IF(D43="X",C43,IF(D44="X",C44,"")))))))))))))</f>
        <v>10</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t="s">
        <v>155</v>
      </c>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0" workbookViewId="0">
      <selection activeCell="B46" sqref="B46:G4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SOD3A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Sofie Brink</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1</v>
      </c>
      <c r="J24" s="58" t="b">
        <v>0</v>
      </c>
      <c r="K24" s="58" t="b">
        <v>0</v>
      </c>
      <c r="L24" s="58"/>
      <c r="M24" s="58">
        <f>IF(L24=TRUE,3,IF(K24=TRUE,2,IF(J24=TRUE,1,IF(I24=TRUE,0,0))))</f>
        <v>0</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X</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7</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t="s">
        <v>156</v>
      </c>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abSelected="1" topLeftCell="B42" workbookViewId="0">
      <selection activeCell="B46" sqref="B46:G4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Misha Ho-Sam-Sooi</v>
      </c>
      <c r="D15" s="10"/>
      <c r="E15" s="10"/>
      <c r="F15" s="10"/>
      <c r="G15" s="14"/>
    </row>
    <row r="16" spans="1:7" ht="22.5" customHeight="1" x14ac:dyDescent="0.3">
      <c r="B16" s="57" t="s">
        <v>39</v>
      </c>
      <c r="C16" s="82">
        <f>IF(Voorblad!B18="","",Voorblad!B18)</f>
        <v>9024254</v>
      </c>
      <c r="D16" s="10"/>
      <c r="E16" s="10"/>
      <c r="F16" s="10"/>
      <c r="G16" s="14"/>
    </row>
    <row r="17" spans="1:15" ht="22.5" customHeight="1" x14ac:dyDescent="0.3">
      <c r="B17" s="57" t="s">
        <v>40</v>
      </c>
      <c r="C17" s="79" t="str">
        <f>IF(Voorblad!B19="","",Voorblad!B19)</f>
        <v>SOD3A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Sofie Brink</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X</v>
      </c>
    </row>
    <row r="41" spans="2:7" hidden="1" x14ac:dyDescent="0.3">
      <c r="B41" s="67">
        <f>IF(D31="X","",IF(D32="X",C32,IF(D33="X",C33,IF(D34="X",C34,IF(D35="X",C35,IF(D36="X",C36,IF(D37="X",C37,IF(D38="X",C38,IF(D39="X",C39,IF(D40="X",C40,""))))))))))</f>
        <v>10</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t="s">
        <v>157</v>
      </c>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Sofie Brink</cp:lastModifiedBy>
  <cp:revision/>
  <dcterms:created xsi:type="dcterms:W3CDTF">2015-10-30T11:14:52Z</dcterms:created>
  <dcterms:modified xsi:type="dcterms:W3CDTF">2024-11-05T09:36:42Z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