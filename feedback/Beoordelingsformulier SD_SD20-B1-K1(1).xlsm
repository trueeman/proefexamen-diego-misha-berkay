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Sofie\Downloads\"/>
    </mc:Choice>
  </mc:AlternateContent>
  <xr:revisionPtr revIDLastSave="0" documentId="13_ncr:1_{BAD85D0D-99E3-4D9F-B951-3FB1E92008E2}"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95" l="1"/>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C36" i="97" l="1"/>
  <c r="C39" i="97"/>
  <c r="C31" i="97"/>
  <c r="C33" i="97"/>
  <c r="B52" i="98"/>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<sst xmlns="http://schemas.openxmlformats.org/spreadsheetml/2006/main" count="574" uniqueCount="220">
  <si>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</si>
  <si>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</si>
  <si>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</si>
  <si>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</si>
  <si>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</si>
  <si>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</si>
  <si>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</si>
  <si>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</si>
  <si>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</si>
  <si>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</si>
  <si>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</si>
  <si>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</si>
  <si>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</si>
  <si>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</si>
  <si>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</si>
  <si>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</si>
  <si>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</si>
  <si>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</si>
  <si>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</si>
  <si>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</si>
  <si>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</si>
  <si>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</si>
  <si>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</si>
  <si>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</si>
  <si>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</si>
  <si>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</si>
  <si>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</si>
  <si>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</si>
  <si>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</si>
  <si>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</si>
  <si>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</si>
  <si>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</si>
  <si>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</si>
  <si>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</si>
  <si>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</si>
  <si>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</si>
  <si>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</si>
  <si>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</si>
  <si>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</si>
  <si>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</si>
  <si>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</si>
  <si>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</si>
  <si>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</si>
  <si>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</si>
  <si>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</si>
  <si>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</si>
  <si>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</si>
  <si>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</si>
  <si>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</si>
  <si>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</si>
  <si>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</si>
  <si>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</si>
  <si>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</si>
  <si>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</si>
  <si>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</si>
  <si>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</si>
  <si>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</si>
  <si>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</si>
  <si>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</si>
  <si>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</si>
  <si>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</si>
  <si>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</si>
  <si>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</si>
  <si>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</si>
  <si>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</si>
  <si>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</si>
  <si>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</si>
  <si>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</si>
  <si>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</si>
  <si>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</si>
  <si>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</si>
  <si>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</si>
  <si>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</si>
  <si>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</si>
  <si>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</si>
  <si>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</si>
  <si>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</si>
  <si>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</si>
  <si>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</si>
  <si>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</si>
  <si>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</si>
  <si>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</si>
  <si>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</si>
  <si>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</si>
  <si>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</si>
  <si>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</si>
  <si>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</si>
  <si>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</si>
  <si>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</si>
  <si>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</si>
  <si>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</si>
  <si>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</si>
  <si>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</si>
  <si>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</si>
  <si>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</si>
  <si>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</si>
  <si>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</si>
  <si>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</si>
  <si>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</si>
  <si>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</si>
  <si>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</si>
  <si>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</si>
  <si>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</si>
  <si>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</si>
  <si>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</si>
  <si>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</si>
  <si>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</si>
  <si>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</si>
  <si>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</si>
  <si>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</si>
  <si>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</si>
  <si>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</si>
  <si>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</si>
  <si>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</si>
  <si>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</si>
  <si>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</si>
  <si>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</si>
  <si>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</si>
  <si>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</si>
  <si>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</si>
  <si>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</si>
  <si>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</si>
  <si>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</si>
  <si>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</si>
  <si>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</si>
  <si>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</si>
  <si>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</si>
  <si>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</si>
  <si>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</si>
  <si>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</si>
  <si>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</si>
  <si>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</si>
  <si>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</si>
  <si>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</si>
  <si>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</si>
  <si>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</si>
  <si>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</si>
  <si>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</si>
  <si>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</si>
  <si>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</si>
  <si>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</si>
  <si>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</si>
  <si>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</si>
  <si>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</si>
  <si>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</si>
  <si>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</si>
  <si>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</si>
  <si>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</si>
  <si>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</si>
  <si>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</si>
  <si>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</si>
  <si>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</si>
  <si>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</si>
  <si>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</si>
  <si>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</si>
  <si>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</si>
  <si>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</si>
  <si>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</si>
  <si>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</si>
  <si>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</si>
  <si>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</si>
  <si>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</si>
  <si>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</si>
  <si>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</si>
  <si>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</si>
  <si>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</si>
  <si>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</si>
  <si>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</si>
  <si>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</si>
  <si>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</si>
  <si>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</si>
  <si>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</si>
  <si>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</si>
  <si>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</si>
  <si>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</si>
  <si>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</si>
  <si>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</si>
  <si>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</si>
  <si>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</si>
  <si>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</si>
  <si>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</si>
  <si>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</si>
  <si>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</si>
  <si>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</si>
  <si>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</si>
  <si>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</si>
  <si>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</si>
  <si>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</si>
  <si>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</si>
  <si>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</si>
  <si>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</si>
  <si>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</si>
  <si>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</si>
  <si>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</si>
  <si>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</si>
  <si>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</si>
  <si>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</si>
  <si>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</si>
  <si>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</si>
  <si>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</si>
  <si>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</si>
  <si>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</si>
  <si>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</si>
  <si>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</si>
  <si>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</si>
  <si>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</si>
  <si>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</si>
  <si>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</si>
  <si>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</si>
  <si>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</si>
  <si>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</si>
  <si>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Misha Ho-Sam-Sooi</t>
  </si>
  <si>
    <t>SOD3A</t>
  </si>
  <si>
    <t>Sofie Brink</t>
  </si>
  <si>
    <t xml:space="preserve">Het project is niet af, dus het voldoet niet aan de projecteisen die in de Definition of Done beschreven staan. Ook zijn de userstories niet echt uitgewerkt als userstories zoals verwacht word volgens de Wie,wat, waarom structuur. Wel is er een duidlijke planning gemaakt is is de voortgang netjes bij gehouden. </t>
  </si>
  <si>
    <t>Er zijn ontwerpen gemaakt, de ERD is heel netjes maar de wireframes zijn niet samenhangend en ook niet heel compleet. De keuzes die gemaakt zijn zijn onderbouwd in de Definition of Done maar deze zijn relatief ruim omschreven en niet heel gedetailleerd</t>
  </si>
  <si>
    <t xml:space="preserve">De functionaliteit is onvolledig, maar op een paar kleine fouten na werkt de bestaande code wel en is het voorzien van commentaar. Er is heel netjes gebruik gemaakt van versiebeheer.
</t>
  </si>
  <si>
    <t>Er is geen testplan, unittest report of ander testreport aanwezig.</t>
  </si>
  <si>
    <t>Kan niet worden bepaald</t>
  </si>
  <si>
    <t>Er waren geen tests, en de retrospective is niet op papier opgenomen, maar heeft wel plaatsgevonden.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</si>
</sst>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3">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0" fontId="0" fillId="12" borderId="10" xfId="0" applyFill="1" applyBorder="1" applyAlignment="1">
      <alignment vertical="top" wrapText="1"/>
    </xf>
  </cellXfs>
  <cellStyles count="2">
    <cellStyle name="Bad" xfId="1" builtinId="27"/>
    <cellStyle name="Normal" xfId="0" builtinId="0"/>
  </cellStyles>
  <dxfs count="32">
    <dxf>
      <font>
        <color rgb="FFFFFFFF"/>
      </font>
      <fill>
        <patternFill>
          <bgColor indexed="9"/>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checked="Checked"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checked="Checked"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checked="Checked"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checked="Checked"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checked="Checked"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checked="Checked"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checked="Checked"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checked="Checked"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checked="Checked"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checked="Checked"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Publiceren</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topLeftCell="A16" workbookViewId="0">
      <selection activeCell="B27" sqref="B27"/>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45601</v>
      </c>
      <c r="C16" s="114"/>
      <c r="D16" s="78" t="s">
        <v>136</v>
      </c>
    </row>
    <row r="17" spans="1:4" x14ac:dyDescent="0.3">
      <c r="A17" s="77" t="s">
        <v>38</v>
      </c>
      <c r="B17" s="107" t="s">
        <v>211</v>
      </c>
      <c r="C17" s="108"/>
    </row>
    <row r="18" spans="1:4" x14ac:dyDescent="0.3">
      <c r="A18" s="77" t="s">
        <v>39</v>
      </c>
      <c r="B18" s="115">
        <v>9024254</v>
      </c>
      <c r="C18" s="116"/>
    </row>
    <row r="19" spans="1:4" x14ac:dyDescent="0.3">
      <c r="A19" s="77" t="s">
        <v>40</v>
      </c>
      <c r="B19" s="107" t="s">
        <v>212</v>
      </c>
      <c r="C19" s="108"/>
    </row>
    <row r="20" spans="1:4" x14ac:dyDescent="0.3">
      <c r="A20" s="77" t="s">
        <v>137</v>
      </c>
      <c r="B20" s="107"/>
      <c r="C20" s="108"/>
    </row>
    <row r="21" spans="1:4" x14ac:dyDescent="0.3">
      <c r="A21" s="77" t="s">
        <v>138</v>
      </c>
      <c r="B21" s="107" t="s">
        <v>213</v>
      </c>
      <c r="C21" s="108"/>
    </row>
    <row r="22" spans="1:4" ht="15" thickBot="1" x14ac:dyDescent="0.35"/>
    <row r="23" spans="1:4" ht="15" thickBot="1" x14ac:dyDescent="0.35">
      <c r="A23" s="95" t="s">
        <v>26</v>
      </c>
      <c r="B23" s="94" t="s">
        <v>139</v>
      </c>
      <c r="C23" s="109" t="s">
        <v>140</v>
      </c>
    </row>
    <row r="24" spans="1:4" x14ac:dyDescent="0.3">
      <c r="A24" s="77" t="s">
        <v>63</v>
      </c>
      <c r="B24" s="79">
        <f>'B1-K1-W1'!B45</f>
        <v>7</v>
      </c>
      <c r="C24" s="109"/>
    </row>
    <row r="25" spans="1:4" x14ac:dyDescent="0.3">
      <c r="A25" s="77" t="s">
        <v>65</v>
      </c>
      <c r="B25" s="79">
        <f>IF('B1-K1-W2'!E30=TRUE,'B1-K1-W2'!B46,"")</f>
        <v>7</v>
      </c>
      <c r="C25" s="109"/>
    </row>
    <row r="26" spans="1:4" x14ac:dyDescent="0.3">
      <c r="A26" s="77" t="s">
        <v>67</v>
      </c>
      <c r="B26" s="79">
        <f>IF('B1-K1-W3'!E33=TRUE,'B1-K1-W3'!B64,"")</f>
        <v>7.5</v>
      </c>
      <c r="C26" s="109"/>
    </row>
    <row r="27" spans="1:4" x14ac:dyDescent="0.3">
      <c r="A27" s="77" t="s">
        <v>69</v>
      </c>
      <c r="B27" s="79" t="str">
        <f>'B1-K1-W4'!B41</f>
        <v/>
      </c>
      <c r="C27" s="109"/>
    </row>
    <row r="28" spans="1:4" x14ac:dyDescent="0.3">
      <c r="A28" s="77" t="s">
        <v>71</v>
      </c>
      <c r="B28" s="79">
        <f>IF('B1-K1-W5'!E35=TRUE,'B1-K1-W5'!B52,"")</f>
        <v>5.5</v>
      </c>
      <c r="C28" s="109"/>
    </row>
    <row r="29" spans="1:4" x14ac:dyDescent="0.3">
      <c r="A29" s="16"/>
      <c r="B29" s="89"/>
      <c r="C29" s="88"/>
      <c r="D29" s="92"/>
    </row>
    <row r="30" spans="1:4" x14ac:dyDescent="0.3">
      <c r="A30" s="90" t="s">
        <v>141</v>
      </c>
      <c r="B30" s="91" t="str" cm="1">
        <f t="array" ref="B30">IF(OR(B24:B28&lt;5.5),1,IF(OR(B24:B28=""),"",(AVERAGE(B24:B28))))</f>
        <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t="s">
        <v>213</v>
      </c>
    </row>
    <row r="36" spans="1:3" x14ac:dyDescent="0.3">
      <c r="A36" s="82"/>
      <c r="B36" s="82"/>
    </row>
    <row r="37" spans="1:3" ht="15" thickBot="1" x14ac:dyDescent="0.35">
      <c r="A37" s="83"/>
      <c r="B37" s="83"/>
    </row>
  </sheetData>
  <mergeCells count="16">
    <mergeCell ref="B20:C20"/>
    <mergeCell ref="B21:C21"/>
    <mergeCell ref="C23:C28"/>
    <mergeCell ref="A15:C15"/>
    <mergeCell ref="B16:C16"/>
    <mergeCell ref="B17:C17"/>
    <mergeCell ref="B18:C18"/>
    <mergeCell ref="B19:C19"/>
    <mergeCell ref="B9:C9"/>
    <mergeCell ref="B11:C11"/>
    <mergeCell ref="B13:C13"/>
    <mergeCell ref="A1:C1"/>
    <mergeCell ref="A3:C3"/>
    <mergeCell ref="B6:C6"/>
    <mergeCell ref="B7:C7"/>
    <mergeCell ref="B8:C8"/>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58" workbookViewId="0">
      <selection activeCell="Q50" sqref="Q50"/>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SOD3A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Sofie Brink</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t="b">
        <v>0</v>
      </c>
      <c r="J24" s="59" t="b">
        <v>1</v>
      </c>
      <c r="K24" s="59" t="b">
        <v>0</v>
      </c>
      <c r="L24" s="59"/>
      <c r="M24" s="59">
        <f>IF(L24=TRUE,3,IF(K24=TRUE,2,IF(J24=TRUE,1,IF(I24=TRUE,0,0))))</f>
        <v>1</v>
      </c>
      <c r="N24" s="59">
        <f>(4-COUNTBLANK(D24:G24))-1</f>
        <v>3</v>
      </c>
      <c r="O24" s="59">
        <f>COUNTA(I24:L24)</f>
        <v>3</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1</v>
      </c>
      <c r="K25" s="59" t="b">
        <v>0</v>
      </c>
      <c r="L25" s="59" t="b">
        <v>0</v>
      </c>
      <c r="M25" s="59">
        <f>IF(L25=TRUE,3,IF(K25=TRUE,2,IF(J25=TRUE,1,IF(I25=TRUE,0,0))))</f>
        <v>1</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X</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7</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22" t="s">
        <v>214</v>
      </c>
      <c r="C50" s="122"/>
      <c r="D50" s="122"/>
      <c r="E50" s="122"/>
      <c r="F50" s="122"/>
      <c r="G50" s="122"/>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51" workbookViewId="0">
      <selection activeCell="S51" sqref="S51"/>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SOD3A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Sofie Brink</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1</v>
      </c>
      <c r="K24" s="59" t="b">
        <v>0</v>
      </c>
      <c r="L24" s="59" t="b">
        <v>0</v>
      </c>
      <c r="M24" s="59">
        <f>IF(L24=TRUE,3,IF(K24=TRUE,2,IF(J24=TRUE,1,IF(I24=TRUE,0,0))))</f>
        <v>1</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1</v>
      </c>
      <c r="L26" s="59" t="b">
        <v>0</v>
      </c>
      <c r="M26" s="59">
        <f>IF(L26=TRUE,3,IF(K26=TRUE,2,IF(J26=TRUE,1,IF(I26=TRUE,0,0))))</f>
        <v>2</v>
      </c>
      <c r="N26" s="59">
        <f>(4-COUNTBLANK(D26:G26))-1</f>
        <v>3</v>
      </c>
      <c r="O26" s="59">
        <f>COUNTA(I26:L26)</f>
        <v>3</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X</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7</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22" t="s">
        <v>215</v>
      </c>
      <c r="C51" s="122"/>
      <c r="D51" s="122"/>
      <c r="E51" s="122"/>
      <c r="F51" s="122"/>
      <c r="G51" s="122"/>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29" workbookViewId="0">
      <selection activeCell="E66" sqref="E6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13</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SOD3A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Sofie Brink</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1</v>
      </c>
      <c r="K24" s="59" t="b">
        <v>0</v>
      </c>
      <c r="L24" s="59" t="b">
        <v>0</v>
      </c>
      <c r="M24" s="59">
        <f t="shared" ref="M24:M29" si="0">IF(L24=TRUE,3,IF(K24=TRUE,2,IF(J24=TRUE,1,IF(I24=TRUE,0,0))))</f>
        <v>1</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1</v>
      </c>
      <c r="L27" s="59"/>
      <c r="M27" s="59">
        <f t="shared" si="0"/>
        <v>2</v>
      </c>
      <c r="N27" s="59">
        <f t="shared" si="1"/>
        <v>3</v>
      </c>
      <c r="O27" s="59">
        <f t="shared" si="2"/>
        <v>2</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1</v>
      </c>
      <c r="M28" s="59">
        <f t="shared" si="0"/>
        <v>3</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X</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7.5</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22" t="s">
        <v>216</v>
      </c>
      <c r="C69" s="122"/>
      <c r="D69" s="122"/>
      <c r="E69" s="122"/>
      <c r="F69" s="122"/>
      <c r="G69" s="122"/>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25" workbookViewId="0">
      <selection activeCell="D31" sqref="D31"/>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SOD3A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Sofie Brink</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1</v>
      </c>
      <c r="J24" s="59" t="b">
        <v>0</v>
      </c>
      <c r="K24" s="59" t="b">
        <v>0</v>
      </c>
      <c r="L24" s="59" t="b">
        <v>0</v>
      </c>
      <c r="M24" s="59">
        <f>IF(L24=TRUE,3,IF(K24=TRUE,2,IF(J24=TRUE,1,IF(I24=TRUE,0,0))))</f>
        <v>0</v>
      </c>
      <c r="N24" s="59">
        <f>(4-COUNTBLANK(D24:G24))-1</f>
        <v>3</v>
      </c>
      <c r="O24" s="59">
        <f>COUNTA(I24:L24)</f>
        <v>4</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t="b">
        <v>0</v>
      </c>
      <c r="K25" s="59" t="b">
        <v>0</v>
      </c>
      <c r="L25" s="59" t="b">
        <v>0</v>
      </c>
      <c r="M25" s="59">
        <f>IF(L25=TRUE,3,IF(K25=TRUE,2,IF(J25=TRUE,1,IF(I25=TRUE,0,0))))</f>
        <v>0</v>
      </c>
      <c r="N25" s="59">
        <f>(4-COUNTBLANK(D25:G25))-1</f>
        <v>3</v>
      </c>
      <c r="O25" s="59">
        <f>COUNTA(I25:L25)</f>
        <v>4</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1</v>
      </c>
      <c r="J26" s="59" t="b">
        <v>0</v>
      </c>
      <c r="K26" s="59" t="b">
        <v>0</v>
      </c>
      <c r="L26" s="59" t="b">
        <v>0</v>
      </c>
      <c r="M26" s="59">
        <f>IF(L26=TRUE,3,IF(K26=TRUE,2,IF(J26=TRUE,1,IF(I26=TRUE,0,0))))</f>
        <v>0</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1: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t="32.4" hidden="1" x14ac:dyDescent="0.3">
      <c r="B41" s="69" t="str">
        <f>IF(D31="X","",IF(D32="X",C32,IF(D33="X",C33,IF(D34="X",C34,IF(D35="X",C35,IF(D36="X",C36,IF(D37="X",C37,IF(D38="X",C38,IF(D39="X",C39,IF(D40="X",C40,""))))))))))</f>
        <v/>
      </c>
      <c r="C41" s="70"/>
      <c r="D41" s="62">
        <v>1</v>
      </c>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t="s">
        <v>217</v>
      </c>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t="s">
        <v>218</v>
      </c>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53" workbookViewId="0">
      <selection activeCell="B57" sqref="B57:G5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5</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45601</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SOD3A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Sofie Brink</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1</v>
      </c>
      <c r="J24" s="59" t="b">
        <v>0</v>
      </c>
      <c r="K24" s="59" t="b">
        <v>0</v>
      </c>
      <c r="L24" s="59" t="b">
        <v>0</v>
      </c>
      <c r="M24" s="59">
        <f>IF(L24=TRUE,3,IF(K24=TRUE,2,IF(J24=TRUE,1,IF(I24=TRUE,0,0))))</f>
        <v>0</v>
      </c>
      <c r="N24" s="59">
        <f>(4-COUNTBLANK(D24:G24))-1</f>
        <v>3</v>
      </c>
      <c r="O24" s="59">
        <f>COUNTA(I24:L24)</f>
        <v>4</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1</v>
      </c>
      <c r="L25" s="59" t="b">
        <v>0</v>
      </c>
      <c r="M25" s="59">
        <f>IF(L25=TRUE,3,IF(K25=TRUE,2,IF(J25=TRUE,1,IF(I25=TRUE,0,0))))</f>
        <v>2</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1</v>
      </c>
      <c r="L26" s="59"/>
      <c r="M26" s="59">
        <f>IF(L26=TRUE,3,IF(K26=TRUE,2,IF(J26=TRUE,1,IF(I26=TRUE,0,0))))</f>
        <v>2</v>
      </c>
      <c r="N26" s="59">
        <f>(4-COUNTBLANK(D26:G26))-1</f>
        <v>3</v>
      </c>
      <c r="O26" s="59">
        <f>COUNTA(I26:L26)</f>
        <v>1</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X</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5.5</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t="s">
        <v>219</v>
      </c>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6" priority="1" stopIfTrue="1">
      <formula>COUNTIF($I24:$L24,TRUE)&gt;1</formula>
    </cfRule>
  </conditionalFormatting>
  <conditionalFormatting sqref="B25:G25">
    <cfRule type="expression" dxfId="5" priority="2" stopIfTrue="1">
      <formula>COUNTIF($I25:$L25,TRUE)&gt;1</formula>
    </cfRule>
  </conditionalFormatting>
  <conditionalFormatting sqref="B26:G26">
    <cfRule type="expression" dxfId="4" priority="3" stopIfTrue="1">
      <formula>COUNTIF($I26:$L26,TRUE)&gt;1</formula>
    </cfRule>
  </conditionalFormatting>
  <conditionalFormatting sqref="B31:G31">
    <cfRule type="expression" dxfId="3" priority="4" stopIfTrue="1">
      <formula>COUNTIF($I31:$L31,TRUE)&gt;1</formula>
    </cfRule>
  </conditionalFormatting>
  <conditionalFormatting sqref="B41:C52">
    <cfRule type="expression" dxfId="2" priority="5" stopIfTrue="1">
      <formula>$E$35=FALSE</formula>
    </cfRule>
  </conditionalFormatting>
  <conditionalFormatting sqref="D40:D52">
    <cfRule type="expression" dxfId="1"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Voorblad</vt:lpstr>
      <vt:lpstr>B1-K1-W1</vt:lpstr>
      <vt:lpstr>B1-K1-W2</vt:lpstr>
      <vt:lpstr>B1-K1-W3</vt:lpstr>
      <vt:lpstr>B1-K1-W4</vt:lpstr>
      <vt:lpstr>B1-K1-W5</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'B1-K1-W1'!Print_Area</vt:lpstr>
      <vt:lpstr>'B1-K1-W2'!Print_Area</vt:lpstr>
      <vt:lpstr>'B1-K1-W3'!Print_Area</vt:lpstr>
      <vt:lpstr>'B1-K1-W4'!Print_Area</vt:lpstr>
      <vt:lpstr>'B1-K1-W5'!Print_Area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Sofie Brink</cp:lastModifiedBy>
  <cp:revision/>
  <dcterms:created xsi:type="dcterms:W3CDTF">2015-10-30T11:14:52Z</dcterms:created>
  <dcterms:modified xsi:type="dcterms:W3CDTF">2024-11-05T09:28:15Z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